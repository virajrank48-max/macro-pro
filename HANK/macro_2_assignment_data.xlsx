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DEC43CC-0539-46F5-BEA7-8E0807D0694C}" xr6:coauthVersionLast="47" xr6:coauthVersionMax="47" xr10:uidLastSave="{00000000-0000-0000-0000-000000000000}"/>
  <bookViews>
    <workbookView xWindow="-98" yWindow="-98" windowWidth="21795" windowHeight="12975" xr2:uid="{F327A249-DD0C-429C-80FD-742E3029B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1" i="1" l="1"/>
  <c r="L61" i="1" s="1"/>
  <c r="L60" i="1"/>
  <c r="K60" i="1"/>
  <c r="K59" i="1"/>
  <c r="L59" i="1" s="1"/>
  <c r="K58" i="1"/>
  <c r="L58" i="1" s="1"/>
  <c r="K57" i="1"/>
  <c r="L57" i="1" s="1"/>
  <c r="K56" i="1"/>
  <c r="L56" i="1" s="1"/>
  <c r="L55" i="1"/>
  <c r="K55" i="1"/>
  <c r="K54" i="1"/>
  <c r="L54" i="1" s="1"/>
  <c r="K53" i="1"/>
  <c r="L53" i="1" s="1"/>
  <c r="K52" i="1"/>
  <c r="L52" i="1" s="1"/>
  <c r="K49" i="1"/>
  <c r="L49" i="1" s="1"/>
  <c r="L48" i="1"/>
  <c r="K48" i="1"/>
  <c r="K47" i="1"/>
  <c r="L47" i="1" s="1"/>
  <c r="K46" i="1"/>
  <c r="L46" i="1" s="1"/>
  <c r="K44" i="1"/>
  <c r="K43" i="1"/>
  <c r="L43" i="1" s="1"/>
  <c r="L42" i="1"/>
  <c r="K42" i="1"/>
  <c r="K39" i="1"/>
  <c r="L39" i="1" s="1"/>
  <c r="K38" i="1"/>
  <c r="L38" i="1" s="1"/>
  <c r="K37" i="1"/>
  <c r="L37" i="1" s="1"/>
  <c r="K36" i="1"/>
  <c r="L36" i="1" s="1"/>
  <c r="L35" i="1"/>
  <c r="K35" i="1"/>
  <c r="K34" i="1"/>
  <c r="L34" i="1" s="1"/>
  <c r="K33" i="1"/>
  <c r="L33" i="1" s="1"/>
  <c r="K32" i="1"/>
  <c r="L32" i="1" s="1"/>
  <c r="K31" i="1"/>
  <c r="L31" i="1" s="1"/>
  <c r="L30" i="1"/>
  <c r="K30" i="1"/>
  <c r="K29" i="1"/>
  <c r="L29" i="1" s="1"/>
  <c r="K28" i="1"/>
  <c r="L28" i="1" s="1"/>
  <c r="K27" i="1"/>
  <c r="L27" i="1" s="1"/>
  <c r="K26" i="1"/>
  <c r="L26" i="1" s="1"/>
  <c r="K25" i="1"/>
  <c r="L25" i="1" s="1"/>
  <c r="L24" i="1"/>
  <c r="K24" i="1"/>
  <c r="K23" i="1"/>
  <c r="L23" i="1" s="1"/>
  <c r="K22" i="1"/>
  <c r="L22" i="1" s="1"/>
  <c r="K21" i="1"/>
  <c r="L21" i="1" s="1"/>
  <c r="K20" i="1"/>
  <c r="L20" i="1" s="1"/>
  <c r="L19" i="1"/>
  <c r="K19" i="1"/>
  <c r="K18" i="1"/>
  <c r="L18" i="1" s="1"/>
  <c r="K17" i="1"/>
  <c r="L17" i="1" s="1"/>
  <c r="K16" i="1"/>
  <c r="L16" i="1" s="1"/>
  <c r="K15" i="1"/>
  <c r="K14" i="1"/>
  <c r="L13" i="1"/>
  <c r="K13" i="1"/>
  <c r="K12" i="1"/>
  <c r="L12" i="1" s="1"/>
  <c r="K11" i="1"/>
  <c r="L11" i="1" s="1"/>
  <c r="K10" i="1"/>
  <c r="L10" i="1" s="1"/>
  <c r="K9" i="1"/>
  <c r="L9" i="1" s="1"/>
  <c r="L8" i="1"/>
  <c r="K8" i="1"/>
  <c r="K7" i="1"/>
  <c r="L7" i="1" s="1"/>
  <c r="K6" i="1"/>
  <c r="L6" i="1" s="1"/>
  <c r="K5" i="1"/>
  <c r="L5" i="1" s="1"/>
  <c r="K4" i="1"/>
  <c r="L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K3" i="1"/>
  <c r="L3" i="1" s="1"/>
  <c r="A3" i="1"/>
  <c r="K2" i="1"/>
  <c r="A2" i="1"/>
</calcChain>
</file>

<file path=xl/sharedStrings.xml><?xml version="1.0" encoding="utf-8"?>
<sst xmlns="http://schemas.openxmlformats.org/spreadsheetml/2006/main" count="12" uniqueCount="12">
  <si>
    <t>Date</t>
  </si>
  <si>
    <t xml:space="preserve">All income groups </t>
  </si>
  <si>
    <t>le8k</t>
  </si>
  <si>
    <t>8k15</t>
  </si>
  <si>
    <t>15k40k</t>
  </si>
  <si>
    <t>40k80k</t>
  </si>
  <si>
    <t>gt80k</t>
  </si>
  <si>
    <t>Repo Rate</t>
  </si>
  <si>
    <t>IIP Index</t>
  </si>
  <si>
    <t>cpi_inflation</t>
  </si>
  <si>
    <t>ln(cpi_inflation)</t>
  </si>
  <si>
    <t>ln(cpi_inflation)t-1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</si>
</sst>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right" vertical="center"/>
    </xf>
    <xf numFmtId="2" fontId="3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2A60-2F3A-4C26-A9F5-1562D697682F}">
  <dimension ref="A1:L61"/>
  <sheetViews>
    <sheetView tabSelected="1" workbookViewId="0">
      <selection activeCell="A2" sqref="A2"/>
    </sheetView>
  </sheetViews>
  <sheetFormatPr defaultRowHeight="14.25" x14ac:dyDescent="0.45"/>
  <cols>
    <col min="1" max="1" width="16.265625" bestFit="1" customWidth="1"/>
    <col min="11" max="11" width="12.9296875" bestFit="1" customWidth="1"/>
  </cols>
  <sheetData>
    <row r="1" spans="1:12" x14ac:dyDescent="0.4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f>DATE(2021,2, 1)</f>
        <v>44228</v>
      </c>
      <c r="B2">
        <v>9752</v>
      </c>
      <c r="C2">
        <v>8203</v>
      </c>
      <c r="D2">
        <v>9118</v>
      </c>
      <c r="E2">
        <v>11565</v>
      </c>
      <c r="F2">
        <v>13398</v>
      </c>
      <c r="G2">
        <v>14039</v>
      </c>
      <c r="H2">
        <v>4</v>
      </c>
      <c r="I2">
        <v>129.9</v>
      </c>
      <c r="J2">
        <v>5.1653660349312398</v>
      </c>
      <c r="K2">
        <f>LN(J2)</f>
        <v>1.6419759683918749</v>
      </c>
      <c r="L2" s="3"/>
    </row>
    <row r="3" spans="1:12" x14ac:dyDescent="0.45">
      <c r="A3" s="2">
        <f>EDATE(A2,1)</f>
        <v>44256</v>
      </c>
      <c r="B3">
        <v>9808</v>
      </c>
      <c r="C3">
        <v>7937</v>
      </c>
      <c r="D3">
        <v>9130</v>
      </c>
      <c r="E3">
        <v>11658</v>
      </c>
      <c r="F3">
        <v>13598</v>
      </c>
      <c r="G3">
        <v>14819</v>
      </c>
      <c r="H3">
        <v>4</v>
      </c>
      <c r="I3">
        <v>145.6</v>
      </c>
      <c r="J3">
        <v>3.6376115305422201</v>
      </c>
      <c r="K3">
        <f t="shared" ref="K3:L18" si="0">LN(J3)</f>
        <v>1.2913272933450111</v>
      </c>
      <c r="L3">
        <f>LN(K3)</f>
        <v>0.25567059897871214</v>
      </c>
    </row>
    <row r="4" spans="1:12" x14ac:dyDescent="0.45">
      <c r="A4" s="2">
        <f t="shared" ref="A4:A61" si="1">EDATE(A3,1)</f>
        <v>44287</v>
      </c>
      <c r="B4">
        <v>9708</v>
      </c>
      <c r="C4">
        <v>7762</v>
      </c>
      <c r="D4">
        <v>9097</v>
      </c>
      <c r="E4">
        <v>11642</v>
      </c>
      <c r="F4">
        <v>12725</v>
      </c>
      <c r="G4">
        <v>15120</v>
      </c>
      <c r="H4">
        <v>4</v>
      </c>
      <c r="I4">
        <v>126.1</v>
      </c>
      <c r="J4">
        <v>3.6376115305422201</v>
      </c>
      <c r="K4">
        <f t="shared" si="0"/>
        <v>1.2913272933450111</v>
      </c>
      <c r="L4">
        <f t="shared" si="0"/>
        <v>0.25567059897871214</v>
      </c>
    </row>
    <row r="5" spans="1:12" x14ac:dyDescent="0.45">
      <c r="A5" s="2">
        <f t="shared" si="1"/>
        <v>44317</v>
      </c>
      <c r="B5">
        <v>9522</v>
      </c>
      <c r="C5">
        <v>8064</v>
      </c>
      <c r="D5">
        <v>9137</v>
      </c>
      <c r="E5">
        <v>11085</v>
      </c>
      <c r="F5">
        <v>13170</v>
      </c>
      <c r="G5">
        <v>14353</v>
      </c>
      <c r="H5">
        <v>4</v>
      </c>
      <c r="I5">
        <v>115.1</v>
      </c>
      <c r="J5">
        <v>4.33847257081392</v>
      </c>
      <c r="K5">
        <f t="shared" si="0"/>
        <v>1.4675223439573455</v>
      </c>
      <c r="L5">
        <f t="shared" si="0"/>
        <v>0.38357549846951422</v>
      </c>
    </row>
    <row r="6" spans="1:12" x14ac:dyDescent="0.45">
      <c r="A6" s="2">
        <f t="shared" si="1"/>
        <v>44348</v>
      </c>
      <c r="B6">
        <v>10217</v>
      </c>
      <c r="C6">
        <v>8726</v>
      </c>
      <c r="D6">
        <v>9447</v>
      </c>
      <c r="E6">
        <v>11713</v>
      </c>
      <c r="F6">
        <v>13764</v>
      </c>
      <c r="G6">
        <v>13290</v>
      </c>
      <c r="H6">
        <v>4</v>
      </c>
      <c r="I6">
        <v>122.8</v>
      </c>
      <c r="J6">
        <v>4.33847257081392</v>
      </c>
      <c r="K6">
        <f t="shared" si="0"/>
        <v>1.4675223439573455</v>
      </c>
      <c r="L6">
        <f t="shared" si="0"/>
        <v>0.38357549846951422</v>
      </c>
    </row>
    <row r="7" spans="1:12" x14ac:dyDescent="0.45">
      <c r="A7" s="2">
        <f t="shared" si="1"/>
        <v>44378</v>
      </c>
      <c r="B7">
        <v>10537</v>
      </c>
      <c r="C7">
        <v>8998</v>
      </c>
      <c r="D7">
        <v>9631</v>
      </c>
      <c r="E7">
        <v>12109</v>
      </c>
      <c r="F7">
        <v>14039</v>
      </c>
      <c r="G7">
        <v>14748</v>
      </c>
      <c r="H7">
        <v>4</v>
      </c>
      <c r="I7">
        <v>131.5</v>
      </c>
      <c r="J7">
        <v>4.6380885453267702</v>
      </c>
      <c r="K7">
        <f t="shared" si="0"/>
        <v>1.5343023299246636</v>
      </c>
      <c r="L7">
        <f t="shared" si="0"/>
        <v>0.4280757695266027</v>
      </c>
    </row>
    <row r="8" spans="1:12" x14ac:dyDescent="0.45">
      <c r="A8" s="2">
        <f t="shared" si="1"/>
        <v>44409</v>
      </c>
      <c r="B8">
        <v>10735</v>
      </c>
      <c r="C8">
        <v>9325</v>
      </c>
      <c r="D8">
        <v>9669</v>
      </c>
      <c r="E8">
        <v>12336</v>
      </c>
      <c r="F8">
        <v>14729</v>
      </c>
      <c r="G8">
        <v>13709</v>
      </c>
      <c r="H8">
        <v>4</v>
      </c>
      <c r="I8">
        <v>132.4</v>
      </c>
      <c r="J8">
        <v>8.2532316871063909</v>
      </c>
      <c r="K8">
        <f t="shared" si="0"/>
        <v>2.110604843293737</v>
      </c>
      <c r="L8">
        <f t="shared" si="0"/>
        <v>0.74697456199956036</v>
      </c>
    </row>
    <row r="9" spans="1:12" x14ac:dyDescent="0.45">
      <c r="A9" s="2">
        <f t="shared" si="1"/>
        <v>44440</v>
      </c>
      <c r="B9">
        <v>10874</v>
      </c>
      <c r="C9">
        <v>9775</v>
      </c>
      <c r="D9">
        <v>9740</v>
      </c>
      <c r="E9">
        <v>12406</v>
      </c>
      <c r="F9">
        <v>15010</v>
      </c>
      <c r="G9">
        <v>14588</v>
      </c>
      <c r="H9">
        <v>4</v>
      </c>
      <c r="I9">
        <v>129.5</v>
      </c>
      <c r="J9">
        <v>8.1206496519721405</v>
      </c>
      <c r="K9">
        <f t="shared" si="0"/>
        <v>2.0944101573737552</v>
      </c>
      <c r="L9">
        <f t="shared" si="0"/>
        <v>0.73927196593912337</v>
      </c>
    </row>
    <row r="10" spans="1:12" x14ac:dyDescent="0.45">
      <c r="A10" s="2">
        <f t="shared" si="1"/>
        <v>44470</v>
      </c>
      <c r="B10">
        <v>11230</v>
      </c>
      <c r="C10">
        <v>9779</v>
      </c>
      <c r="D10">
        <v>9890</v>
      </c>
      <c r="E10">
        <v>12713</v>
      </c>
      <c r="F10">
        <v>14510</v>
      </c>
      <c r="G10">
        <v>14783</v>
      </c>
      <c r="H10">
        <v>4</v>
      </c>
      <c r="I10">
        <v>135</v>
      </c>
      <c r="J10">
        <v>6.1014263074484996</v>
      </c>
      <c r="K10">
        <f t="shared" si="0"/>
        <v>1.8085225647406176</v>
      </c>
      <c r="L10">
        <f t="shared" si="0"/>
        <v>0.59251024937979613</v>
      </c>
    </row>
    <row r="11" spans="1:12" x14ac:dyDescent="0.45">
      <c r="A11" s="2">
        <f t="shared" si="1"/>
        <v>44501</v>
      </c>
      <c r="B11">
        <v>11333</v>
      </c>
      <c r="C11">
        <v>10107</v>
      </c>
      <c r="D11">
        <v>9820</v>
      </c>
      <c r="E11">
        <v>12853</v>
      </c>
      <c r="F11">
        <v>14933</v>
      </c>
      <c r="G11">
        <v>16530</v>
      </c>
      <c r="H11">
        <v>4</v>
      </c>
      <c r="I11">
        <v>128</v>
      </c>
      <c r="J11">
        <v>6.1014263074484996</v>
      </c>
      <c r="K11">
        <f t="shared" si="0"/>
        <v>1.8085225647406176</v>
      </c>
      <c r="L11">
        <f t="shared" si="0"/>
        <v>0.59251024937979613</v>
      </c>
    </row>
    <row r="12" spans="1:12" x14ac:dyDescent="0.45">
      <c r="A12" s="2">
        <f t="shared" si="1"/>
        <v>44531</v>
      </c>
      <c r="B12">
        <v>11253</v>
      </c>
      <c r="C12">
        <v>10117</v>
      </c>
      <c r="D12">
        <v>9878</v>
      </c>
      <c r="E12">
        <v>12653</v>
      </c>
      <c r="F12">
        <v>13853</v>
      </c>
      <c r="G12">
        <v>15028</v>
      </c>
      <c r="H12">
        <v>4</v>
      </c>
      <c r="I12">
        <v>138.80000000000001</v>
      </c>
      <c r="J12">
        <v>4.2372881355932197</v>
      </c>
      <c r="K12">
        <f t="shared" si="0"/>
        <v>1.4439234739565268</v>
      </c>
      <c r="L12">
        <f t="shared" si="0"/>
        <v>0.36736404319132204</v>
      </c>
    </row>
    <row r="13" spans="1:12" x14ac:dyDescent="0.45">
      <c r="A13" s="2">
        <f t="shared" si="1"/>
        <v>44562</v>
      </c>
      <c r="B13">
        <v>11390</v>
      </c>
      <c r="C13">
        <v>10261</v>
      </c>
      <c r="D13">
        <v>9884</v>
      </c>
      <c r="E13">
        <v>12982</v>
      </c>
      <c r="F13">
        <v>14918</v>
      </c>
      <c r="G13">
        <v>16392</v>
      </c>
      <c r="H13">
        <v>4</v>
      </c>
      <c r="I13">
        <v>139.30000000000001</v>
      </c>
      <c r="J13">
        <v>4.2372881355932197</v>
      </c>
      <c r="K13">
        <f t="shared" si="0"/>
        <v>1.4439234739565268</v>
      </c>
      <c r="L13">
        <f t="shared" si="0"/>
        <v>0.36736404319132204</v>
      </c>
    </row>
    <row r="14" spans="1:12" x14ac:dyDescent="0.45">
      <c r="A14" s="2">
        <f t="shared" si="1"/>
        <v>44593</v>
      </c>
      <c r="B14">
        <v>11439</v>
      </c>
      <c r="C14">
        <v>10445</v>
      </c>
      <c r="D14">
        <v>9979</v>
      </c>
      <c r="E14">
        <v>13020</v>
      </c>
      <c r="F14">
        <v>15280</v>
      </c>
      <c r="G14">
        <v>16561</v>
      </c>
      <c r="H14">
        <v>4</v>
      </c>
      <c r="I14">
        <v>131.4</v>
      </c>
      <c r="J14">
        <v>0.96562379297025902</v>
      </c>
      <c r="K14">
        <f t="shared" si="0"/>
        <v>-3.4980968895245275E-2</v>
      </c>
      <c r="L14">
        <v>0</v>
      </c>
    </row>
    <row r="15" spans="1:12" x14ac:dyDescent="0.45">
      <c r="A15" s="2">
        <f t="shared" si="1"/>
        <v>44621</v>
      </c>
      <c r="B15">
        <v>11609</v>
      </c>
      <c r="C15">
        <v>10285</v>
      </c>
      <c r="D15">
        <v>10078</v>
      </c>
      <c r="E15">
        <v>13410</v>
      </c>
      <c r="F15">
        <v>14689</v>
      </c>
      <c r="G15">
        <v>15778</v>
      </c>
      <c r="H15">
        <v>4</v>
      </c>
      <c r="I15">
        <v>148.80000000000001</v>
      </c>
      <c r="J15">
        <v>0.96562379297025902</v>
      </c>
      <c r="K15">
        <f t="shared" si="0"/>
        <v>-3.4980968895245275E-2</v>
      </c>
      <c r="L15">
        <v>0</v>
      </c>
    </row>
    <row r="16" spans="1:12" x14ac:dyDescent="0.45">
      <c r="A16" s="2">
        <f t="shared" si="1"/>
        <v>44652</v>
      </c>
      <c r="B16">
        <v>11834</v>
      </c>
      <c r="C16">
        <v>9758</v>
      </c>
      <c r="D16">
        <v>10039</v>
      </c>
      <c r="E16">
        <v>13521</v>
      </c>
      <c r="F16">
        <v>15433</v>
      </c>
      <c r="G16">
        <v>15987</v>
      </c>
      <c r="H16">
        <v>4</v>
      </c>
      <c r="I16">
        <v>134.5</v>
      </c>
      <c r="J16">
        <v>2.46268656716419</v>
      </c>
      <c r="K16">
        <f t="shared" si="0"/>
        <v>0.90125285450961901</v>
      </c>
      <c r="L16">
        <f t="shared" si="0"/>
        <v>-0.1039694231096373</v>
      </c>
    </row>
    <row r="17" spans="1:12" x14ac:dyDescent="0.45">
      <c r="A17" s="2">
        <f t="shared" si="1"/>
        <v>44682</v>
      </c>
      <c r="B17">
        <v>11595</v>
      </c>
      <c r="C17">
        <v>9958</v>
      </c>
      <c r="D17">
        <v>9844</v>
      </c>
      <c r="E17">
        <v>13557</v>
      </c>
      <c r="F17">
        <v>14946</v>
      </c>
      <c r="G17">
        <v>16446</v>
      </c>
      <c r="H17">
        <v>4.4000000000000004</v>
      </c>
      <c r="I17">
        <v>137.80000000000001</v>
      </c>
      <c r="J17">
        <v>2.53731343283583</v>
      </c>
      <c r="K17">
        <f t="shared" si="0"/>
        <v>0.93110581765929934</v>
      </c>
      <c r="L17">
        <f t="shared" si="0"/>
        <v>-7.1382347949832531E-2</v>
      </c>
    </row>
    <row r="18" spans="1:12" x14ac:dyDescent="0.45">
      <c r="A18" s="2">
        <f t="shared" si="1"/>
        <v>44713</v>
      </c>
      <c r="B18">
        <v>11772</v>
      </c>
      <c r="C18">
        <v>10622</v>
      </c>
      <c r="D18">
        <v>10027</v>
      </c>
      <c r="E18">
        <v>13830</v>
      </c>
      <c r="F18">
        <v>16561</v>
      </c>
      <c r="G18">
        <v>15759</v>
      </c>
      <c r="H18">
        <v>4.9000000000000004</v>
      </c>
      <c r="I18">
        <v>138.30000000000001</v>
      </c>
      <c r="J18">
        <v>6.9206842923794802</v>
      </c>
      <c r="K18">
        <f t="shared" si="0"/>
        <v>1.9345146509226678</v>
      </c>
      <c r="L18">
        <f t="shared" si="0"/>
        <v>0.6598564686229893</v>
      </c>
    </row>
    <row r="19" spans="1:12" x14ac:dyDescent="0.45">
      <c r="A19" s="2">
        <f t="shared" si="1"/>
        <v>44743</v>
      </c>
      <c r="B19">
        <v>11895</v>
      </c>
      <c r="C19">
        <v>11265</v>
      </c>
      <c r="D19">
        <v>10193</v>
      </c>
      <c r="E19">
        <v>13967</v>
      </c>
      <c r="F19">
        <v>16300</v>
      </c>
      <c r="G19">
        <v>15877</v>
      </c>
      <c r="H19">
        <v>4.9000000000000004</v>
      </c>
      <c r="I19">
        <v>134.4</v>
      </c>
      <c r="J19">
        <v>6.9206842923794802</v>
      </c>
      <c r="K19">
        <f t="shared" ref="K19:L34" si="2">LN(J19)</f>
        <v>1.9345146509226678</v>
      </c>
      <c r="L19">
        <f t="shared" si="2"/>
        <v>0.6598564686229893</v>
      </c>
    </row>
    <row r="20" spans="1:12" x14ac:dyDescent="0.45">
      <c r="A20" s="2">
        <f t="shared" si="1"/>
        <v>44774</v>
      </c>
      <c r="B20">
        <v>12020</v>
      </c>
      <c r="C20">
        <v>11508</v>
      </c>
      <c r="D20">
        <v>10212</v>
      </c>
      <c r="E20">
        <v>13953</v>
      </c>
      <c r="F20">
        <v>16609</v>
      </c>
      <c r="G20">
        <v>17936</v>
      </c>
      <c r="H20">
        <v>5.4</v>
      </c>
      <c r="I20">
        <v>131.5</v>
      </c>
      <c r="J20">
        <v>3.9907012785741802</v>
      </c>
      <c r="K20">
        <f t="shared" si="2"/>
        <v>1.3839669744991092</v>
      </c>
      <c r="L20">
        <f t="shared" si="2"/>
        <v>0.32495399455463231</v>
      </c>
    </row>
    <row r="21" spans="1:12" x14ac:dyDescent="0.45">
      <c r="A21" s="2">
        <f t="shared" si="1"/>
        <v>44805</v>
      </c>
      <c r="B21">
        <v>12366</v>
      </c>
      <c r="C21">
        <v>11584</v>
      </c>
      <c r="D21">
        <v>10605</v>
      </c>
      <c r="E21">
        <v>14321</v>
      </c>
      <c r="F21">
        <v>16977</v>
      </c>
      <c r="G21">
        <v>17531</v>
      </c>
      <c r="H21">
        <v>5.9</v>
      </c>
      <c r="I21">
        <v>133.80000000000001</v>
      </c>
      <c r="J21">
        <v>3.9907012785741802</v>
      </c>
      <c r="K21">
        <f t="shared" si="2"/>
        <v>1.3839669744991092</v>
      </c>
      <c r="L21">
        <f t="shared" si="2"/>
        <v>0.32495399455463231</v>
      </c>
    </row>
    <row r="22" spans="1:12" x14ac:dyDescent="0.45">
      <c r="A22" s="2">
        <f t="shared" si="1"/>
        <v>44835</v>
      </c>
      <c r="B22">
        <v>13042</v>
      </c>
      <c r="C22">
        <v>11533</v>
      </c>
      <c r="D22">
        <v>10938</v>
      </c>
      <c r="E22">
        <v>14775</v>
      </c>
      <c r="F22">
        <v>18022</v>
      </c>
      <c r="G22">
        <v>18984</v>
      </c>
      <c r="H22">
        <v>5.9</v>
      </c>
      <c r="I22">
        <v>129.5</v>
      </c>
      <c r="J22">
        <v>5.5111821086261896</v>
      </c>
      <c r="K22">
        <f t="shared" si="2"/>
        <v>1.7067791389253053</v>
      </c>
      <c r="L22">
        <f t="shared" si="2"/>
        <v>0.53460804992593025</v>
      </c>
    </row>
    <row r="23" spans="1:12" x14ac:dyDescent="0.45">
      <c r="A23" s="2">
        <f t="shared" si="1"/>
        <v>44866</v>
      </c>
      <c r="B23">
        <v>12635</v>
      </c>
      <c r="C23">
        <v>11720</v>
      </c>
      <c r="D23">
        <v>10842</v>
      </c>
      <c r="E23">
        <v>14230</v>
      </c>
      <c r="F23">
        <v>15967</v>
      </c>
      <c r="G23">
        <v>17261</v>
      </c>
      <c r="H23">
        <v>5.9</v>
      </c>
      <c r="I23">
        <v>137.69999999999999</v>
      </c>
      <c r="J23">
        <v>5.4313099041533501</v>
      </c>
      <c r="K23">
        <f t="shared" si="2"/>
        <v>1.6921803395041535</v>
      </c>
      <c r="L23">
        <f t="shared" si="2"/>
        <v>0.52601783913569622</v>
      </c>
    </row>
    <row r="24" spans="1:12" x14ac:dyDescent="0.45">
      <c r="A24" s="2">
        <f t="shared" si="1"/>
        <v>44896</v>
      </c>
      <c r="B24">
        <v>12822</v>
      </c>
      <c r="C24">
        <v>11395</v>
      </c>
      <c r="D24">
        <v>11014</v>
      </c>
      <c r="E24">
        <v>14492</v>
      </c>
      <c r="F24">
        <v>16127</v>
      </c>
      <c r="G24">
        <v>17269</v>
      </c>
      <c r="H24" s="4">
        <v>6.25</v>
      </c>
      <c r="I24">
        <v>145.9</v>
      </c>
      <c r="J24">
        <v>3.4082668600435002</v>
      </c>
      <c r="K24">
        <f t="shared" si="2"/>
        <v>1.2262039099048454</v>
      </c>
      <c r="L24">
        <f t="shared" si="2"/>
        <v>0.20392314497686298</v>
      </c>
    </row>
    <row r="25" spans="1:12" x14ac:dyDescent="0.45">
      <c r="A25" s="2">
        <f t="shared" si="1"/>
        <v>44927</v>
      </c>
      <c r="B25">
        <v>13237</v>
      </c>
      <c r="C25">
        <v>12038</v>
      </c>
      <c r="D25">
        <v>11333</v>
      </c>
      <c r="E25">
        <v>14911</v>
      </c>
      <c r="F25">
        <v>17552</v>
      </c>
      <c r="G25">
        <v>18519</v>
      </c>
      <c r="H25" s="4">
        <v>6.25</v>
      </c>
      <c r="I25">
        <v>147.4</v>
      </c>
      <c r="J25">
        <v>3.4082668600435002</v>
      </c>
      <c r="K25">
        <f t="shared" si="2"/>
        <v>1.2262039099048454</v>
      </c>
      <c r="L25">
        <f t="shared" si="2"/>
        <v>0.20392314497686298</v>
      </c>
    </row>
    <row r="26" spans="1:12" x14ac:dyDescent="0.45">
      <c r="A26" s="2">
        <f t="shared" si="1"/>
        <v>44958</v>
      </c>
      <c r="B26">
        <v>13609</v>
      </c>
      <c r="C26">
        <v>12353</v>
      </c>
      <c r="D26">
        <v>11642</v>
      </c>
      <c r="E26">
        <v>15241</v>
      </c>
      <c r="F26">
        <v>17548</v>
      </c>
      <c r="G26">
        <v>17474</v>
      </c>
      <c r="H26">
        <v>6.5</v>
      </c>
      <c r="I26">
        <v>139.30000000000001</v>
      </c>
      <c r="J26">
        <v>7.8388278388278296</v>
      </c>
      <c r="K26">
        <f t="shared" si="2"/>
        <v>2.0590893128309364</v>
      </c>
      <c r="L26">
        <f t="shared" si="2"/>
        <v>0.72226380390477818</v>
      </c>
    </row>
    <row r="27" spans="1:12" x14ac:dyDescent="0.45">
      <c r="A27" s="2">
        <f t="shared" si="1"/>
        <v>44986</v>
      </c>
      <c r="B27">
        <v>13984</v>
      </c>
      <c r="C27">
        <v>12484</v>
      </c>
      <c r="D27">
        <v>11753</v>
      </c>
      <c r="E27">
        <v>15591</v>
      </c>
      <c r="F27">
        <v>17860</v>
      </c>
      <c r="G27">
        <v>18611</v>
      </c>
      <c r="H27">
        <v>6.5</v>
      </c>
      <c r="I27">
        <v>151.69999999999999</v>
      </c>
      <c r="J27">
        <v>7.8388278388278296</v>
      </c>
      <c r="K27">
        <f t="shared" si="2"/>
        <v>2.0590893128309364</v>
      </c>
      <c r="L27">
        <f t="shared" si="2"/>
        <v>0.72226380390477818</v>
      </c>
    </row>
    <row r="28" spans="1:12" x14ac:dyDescent="0.45">
      <c r="A28" s="2">
        <f t="shared" si="1"/>
        <v>45017</v>
      </c>
      <c r="B28">
        <v>14370</v>
      </c>
      <c r="C28">
        <v>12453</v>
      </c>
      <c r="D28">
        <v>11983</v>
      </c>
      <c r="E28">
        <v>15872</v>
      </c>
      <c r="F28">
        <v>17273</v>
      </c>
      <c r="G28">
        <v>17118</v>
      </c>
      <c r="H28">
        <v>6.5</v>
      </c>
      <c r="I28">
        <v>140.69999999999999</v>
      </c>
      <c r="J28">
        <v>5.5437100213219699</v>
      </c>
      <c r="K28">
        <f t="shared" si="2"/>
        <v>1.7126639555632956</v>
      </c>
      <c r="L28">
        <f t="shared" si="2"/>
        <v>0.53805002704633376</v>
      </c>
    </row>
    <row r="29" spans="1:12" x14ac:dyDescent="0.45">
      <c r="A29" s="2">
        <f t="shared" si="1"/>
        <v>45047</v>
      </c>
      <c r="B29">
        <v>14081</v>
      </c>
      <c r="C29">
        <v>12497</v>
      </c>
      <c r="D29">
        <v>11816</v>
      </c>
      <c r="E29">
        <v>15772</v>
      </c>
      <c r="F29">
        <v>17387</v>
      </c>
      <c r="G29">
        <v>19315</v>
      </c>
      <c r="H29">
        <v>6.5</v>
      </c>
      <c r="I29">
        <v>145.6</v>
      </c>
      <c r="J29">
        <v>5.47263681592041</v>
      </c>
      <c r="K29">
        <f t="shared" si="2"/>
        <v>1.6997605507273883</v>
      </c>
      <c r="L29">
        <f t="shared" si="2"/>
        <v>0.53048738862822253</v>
      </c>
    </row>
    <row r="30" spans="1:12" x14ac:dyDescent="0.45">
      <c r="A30" s="2">
        <f t="shared" si="1"/>
        <v>45078</v>
      </c>
      <c r="B30">
        <v>13873</v>
      </c>
      <c r="C30">
        <v>12001</v>
      </c>
      <c r="D30">
        <v>11185</v>
      </c>
      <c r="E30">
        <v>15905</v>
      </c>
      <c r="F30">
        <v>18997</v>
      </c>
      <c r="G30">
        <v>21335</v>
      </c>
      <c r="H30">
        <v>6.5</v>
      </c>
      <c r="I30">
        <v>143.9</v>
      </c>
      <c r="J30">
        <v>6.5904505716207202</v>
      </c>
      <c r="K30">
        <f t="shared" si="2"/>
        <v>1.8856217181985093</v>
      </c>
      <c r="L30">
        <f t="shared" si="2"/>
        <v>0.6342575904979918</v>
      </c>
    </row>
    <row r="31" spans="1:12" x14ac:dyDescent="0.45">
      <c r="A31" s="2">
        <f t="shared" si="1"/>
        <v>45108</v>
      </c>
      <c r="B31">
        <v>13662</v>
      </c>
      <c r="C31">
        <v>11977</v>
      </c>
      <c r="D31">
        <v>10821</v>
      </c>
      <c r="E31">
        <v>15732</v>
      </c>
      <c r="F31">
        <v>18798</v>
      </c>
      <c r="G31">
        <v>21208</v>
      </c>
      <c r="H31">
        <v>6.5</v>
      </c>
      <c r="I31">
        <v>142.69999999999999</v>
      </c>
      <c r="J31">
        <v>6.5904505716207202</v>
      </c>
      <c r="K31">
        <f t="shared" si="2"/>
        <v>1.8856217181985093</v>
      </c>
      <c r="L31">
        <f t="shared" si="2"/>
        <v>0.6342575904979918</v>
      </c>
    </row>
    <row r="32" spans="1:12" x14ac:dyDescent="0.45">
      <c r="A32" s="2">
        <f t="shared" si="1"/>
        <v>45139</v>
      </c>
      <c r="B32">
        <v>13649</v>
      </c>
      <c r="C32">
        <v>12281</v>
      </c>
      <c r="D32">
        <v>10775</v>
      </c>
      <c r="E32">
        <v>15706</v>
      </c>
      <c r="F32">
        <v>19707</v>
      </c>
      <c r="G32">
        <v>21467</v>
      </c>
      <c r="H32">
        <v>6.5</v>
      </c>
      <c r="I32">
        <v>145.80000000000001</v>
      </c>
      <c r="J32">
        <v>6.4723822433073401</v>
      </c>
      <c r="K32">
        <f t="shared" si="2"/>
        <v>1.8675442390917798</v>
      </c>
      <c r="L32">
        <f t="shared" si="2"/>
        <v>0.62462432668229151</v>
      </c>
    </row>
    <row r="33" spans="1:12" x14ac:dyDescent="0.45">
      <c r="A33" s="2">
        <f t="shared" si="1"/>
        <v>45170</v>
      </c>
      <c r="B33">
        <v>13690</v>
      </c>
      <c r="C33">
        <v>11873</v>
      </c>
      <c r="D33">
        <v>10664</v>
      </c>
      <c r="E33">
        <v>15722</v>
      </c>
      <c r="F33">
        <v>19631</v>
      </c>
      <c r="G33">
        <v>21409</v>
      </c>
      <c r="H33">
        <v>6.5</v>
      </c>
      <c r="I33">
        <v>142.30000000000001</v>
      </c>
      <c r="J33">
        <v>6.4723822433073401</v>
      </c>
      <c r="K33">
        <f t="shared" si="2"/>
        <v>1.8675442390917798</v>
      </c>
      <c r="L33">
        <f t="shared" si="2"/>
        <v>0.62462432668229151</v>
      </c>
    </row>
    <row r="34" spans="1:12" x14ac:dyDescent="0.45">
      <c r="A34" s="2">
        <f t="shared" si="1"/>
        <v>45200</v>
      </c>
      <c r="B34">
        <v>14027</v>
      </c>
      <c r="C34">
        <v>12172</v>
      </c>
      <c r="D34">
        <v>11087</v>
      </c>
      <c r="E34">
        <v>15698</v>
      </c>
      <c r="F34">
        <v>18384</v>
      </c>
      <c r="G34">
        <v>23106</v>
      </c>
      <c r="H34">
        <v>6.5</v>
      </c>
      <c r="I34">
        <v>144.9</v>
      </c>
      <c r="J34">
        <v>7.9322033898304998</v>
      </c>
      <c r="K34">
        <f t="shared" si="2"/>
        <v>2.0709308520119261</v>
      </c>
      <c r="L34">
        <f t="shared" si="2"/>
        <v>0.72799819316068026</v>
      </c>
    </row>
    <row r="35" spans="1:12" x14ac:dyDescent="0.45">
      <c r="A35" s="2">
        <f t="shared" si="1"/>
        <v>45231</v>
      </c>
      <c r="B35">
        <v>14857</v>
      </c>
      <c r="C35">
        <v>13137</v>
      </c>
      <c r="D35">
        <v>11078</v>
      </c>
      <c r="E35">
        <v>16173</v>
      </c>
      <c r="F35">
        <v>19417</v>
      </c>
      <c r="G35">
        <v>24274</v>
      </c>
      <c r="H35">
        <v>6.5</v>
      </c>
      <c r="I35">
        <v>141.1</v>
      </c>
      <c r="J35">
        <v>7.9322033898304998</v>
      </c>
      <c r="K35">
        <f t="shared" ref="K35:L49" si="3">LN(J35)</f>
        <v>2.0709308520119261</v>
      </c>
      <c r="L35">
        <f t="shared" si="3"/>
        <v>0.72799819316068026</v>
      </c>
    </row>
    <row r="36" spans="1:12" x14ac:dyDescent="0.45">
      <c r="A36" s="2">
        <f t="shared" si="1"/>
        <v>45261</v>
      </c>
      <c r="B36">
        <v>14006</v>
      </c>
      <c r="C36">
        <v>11917</v>
      </c>
      <c r="D36">
        <v>10927</v>
      </c>
      <c r="E36">
        <v>15478</v>
      </c>
      <c r="F36">
        <v>18754</v>
      </c>
      <c r="G36">
        <v>20741</v>
      </c>
      <c r="H36">
        <v>6.5</v>
      </c>
      <c r="I36">
        <v>152.30000000000001</v>
      </c>
      <c r="J36">
        <v>6.6091954022988597</v>
      </c>
      <c r="K36">
        <f t="shared" si="3"/>
        <v>1.8884619221427681</v>
      </c>
      <c r="L36">
        <f t="shared" si="3"/>
        <v>0.63576269995029544</v>
      </c>
    </row>
    <row r="37" spans="1:12" x14ac:dyDescent="0.45">
      <c r="A37" s="2">
        <f t="shared" si="1"/>
        <v>45292</v>
      </c>
      <c r="B37">
        <v>14123</v>
      </c>
      <c r="C37">
        <v>13034</v>
      </c>
      <c r="D37">
        <v>10702</v>
      </c>
      <c r="E37">
        <v>15219</v>
      </c>
      <c r="F37">
        <v>19297</v>
      </c>
      <c r="G37">
        <v>20570</v>
      </c>
      <c r="H37">
        <v>6.5</v>
      </c>
      <c r="I37">
        <v>153.6</v>
      </c>
      <c r="J37">
        <v>6.5373563218391002</v>
      </c>
      <c r="K37">
        <f t="shared" si="3"/>
        <v>1.8775328516105794</v>
      </c>
      <c r="L37">
        <f t="shared" si="3"/>
        <v>0.62995860203200982</v>
      </c>
    </row>
    <row r="38" spans="1:12" x14ac:dyDescent="0.45">
      <c r="A38" s="2">
        <f t="shared" si="1"/>
        <v>45323</v>
      </c>
      <c r="B38">
        <v>14139</v>
      </c>
      <c r="C38">
        <v>12940</v>
      </c>
      <c r="D38">
        <v>10731</v>
      </c>
      <c r="E38">
        <v>15475</v>
      </c>
      <c r="F38">
        <v>19508</v>
      </c>
      <c r="G38">
        <v>20383</v>
      </c>
      <c r="H38">
        <v>6.5</v>
      </c>
      <c r="I38">
        <v>147.1</v>
      </c>
      <c r="J38">
        <v>5.9463379260333502</v>
      </c>
      <c r="K38">
        <f t="shared" si="3"/>
        <v>1.7827755554590414</v>
      </c>
      <c r="L38">
        <f t="shared" si="3"/>
        <v>0.57817145067645193</v>
      </c>
    </row>
    <row r="39" spans="1:12" x14ac:dyDescent="0.45">
      <c r="A39" s="2">
        <f t="shared" si="1"/>
        <v>45352</v>
      </c>
      <c r="B39">
        <v>14510</v>
      </c>
      <c r="C39">
        <v>13100</v>
      </c>
      <c r="D39">
        <v>10932</v>
      </c>
      <c r="E39">
        <v>15498</v>
      </c>
      <c r="F39">
        <v>18747</v>
      </c>
      <c r="G39">
        <v>21589</v>
      </c>
      <c r="H39">
        <v>6.5</v>
      </c>
      <c r="I39">
        <v>159.9</v>
      </c>
      <c r="J39">
        <v>6.0188542422044797</v>
      </c>
      <c r="K39">
        <f t="shared" si="3"/>
        <v>1.7948969159913848</v>
      </c>
      <c r="L39">
        <f t="shared" si="3"/>
        <v>0.58494759187411172</v>
      </c>
    </row>
    <row r="40" spans="1:12" x14ac:dyDescent="0.45">
      <c r="A40" s="2">
        <f t="shared" si="1"/>
        <v>45383</v>
      </c>
      <c r="B40">
        <v>14522</v>
      </c>
      <c r="C40">
        <v>12413</v>
      </c>
      <c r="D40">
        <v>10635</v>
      </c>
      <c r="E40">
        <v>15619</v>
      </c>
      <c r="F40">
        <v>19588</v>
      </c>
      <c r="G40">
        <v>22965</v>
      </c>
      <c r="H40">
        <v>6.5</v>
      </c>
      <c r="I40">
        <v>147.69999999999999</v>
      </c>
      <c r="J40">
        <v>-0.83565459610028403</v>
      </c>
      <c r="K40">
        <v>0</v>
      </c>
      <c r="L40">
        <v>0</v>
      </c>
    </row>
    <row r="41" spans="1:12" x14ac:dyDescent="0.45">
      <c r="A41" s="2">
        <f t="shared" si="1"/>
        <v>45413</v>
      </c>
      <c r="B41">
        <v>14377</v>
      </c>
      <c r="C41">
        <v>13174</v>
      </c>
      <c r="D41">
        <v>11000</v>
      </c>
      <c r="E41">
        <v>15719</v>
      </c>
      <c r="F41">
        <v>20523</v>
      </c>
      <c r="G41">
        <v>21751</v>
      </c>
      <c r="H41">
        <v>6.5</v>
      </c>
      <c r="I41">
        <v>154.69999999999999</v>
      </c>
      <c r="J41">
        <v>-0.83565459610028403</v>
      </c>
      <c r="K41">
        <v>0</v>
      </c>
      <c r="L41">
        <v>0</v>
      </c>
    </row>
    <row r="42" spans="1:12" x14ac:dyDescent="0.45">
      <c r="A42" s="2">
        <f t="shared" si="1"/>
        <v>45444</v>
      </c>
      <c r="B42">
        <v>14465</v>
      </c>
      <c r="C42">
        <v>13267</v>
      </c>
      <c r="D42">
        <v>11055</v>
      </c>
      <c r="E42">
        <v>15864</v>
      </c>
      <c r="F42">
        <v>20237</v>
      </c>
      <c r="G42">
        <v>22511</v>
      </c>
      <c r="H42">
        <v>6.5</v>
      </c>
      <c r="I42">
        <v>151</v>
      </c>
      <c r="J42">
        <v>7.2390572390572503</v>
      </c>
      <c r="K42">
        <f t="shared" si="3"/>
        <v>1.9794909823190103</v>
      </c>
      <c r="L42">
        <f t="shared" si="3"/>
        <v>0.68283973201894599</v>
      </c>
    </row>
    <row r="43" spans="1:12" x14ac:dyDescent="0.45">
      <c r="A43" s="2">
        <f t="shared" si="1"/>
        <v>45474</v>
      </c>
      <c r="B43">
        <v>14519</v>
      </c>
      <c r="C43">
        <v>13676</v>
      </c>
      <c r="D43">
        <v>11132</v>
      </c>
      <c r="E43">
        <v>15737</v>
      </c>
      <c r="F43">
        <v>20291</v>
      </c>
      <c r="G43">
        <v>23257</v>
      </c>
      <c r="H43">
        <v>6.5</v>
      </c>
      <c r="I43">
        <v>149.80000000000001</v>
      </c>
      <c r="J43">
        <v>7.1548821548821602</v>
      </c>
      <c r="K43">
        <f t="shared" si="3"/>
        <v>1.9677949425558183</v>
      </c>
      <c r="L43">
        <f t="shared" si="3"/>
        <v>0.67691359734551304</v>
      </c>
    </row>
    <row r="44" spans="1:12" x14ac:dyDescent="0.45">
      <c r="A44" s="2">
        <f t="shared" si="1"/>
        <v>45505</v>
      </c>
      <c r="B44">
        <v>14750</v>
      </c>
      <c r="C44">
        <v>13977</v>
      </c>
      <c r="D44">
        <v>11435</v>
      </c>
      <c r="E44">
        <v>15836</v>
      </c>
      <c r="F44">
        <v>20984</v>
      </c>
      <c r="G44">
        <v>23286</v>
      </c>
      <c r="H44">
        <v>6.5</v>
      </c>
      <c r="I44">
        <v>145.80000000000001</v>
      </c>
      <c r="J44">
        <v>0.49404242952629701</v>
      </c>
      <c r="K44">
        <f t="shared" si="3"/>
        <v>-0.70513387575317998</v>
      </c>
      <c r="L44">
        <v>0</v>
      </c>
    </row>
    <row r="45" spans="1:12" x14ac:dyDescent="0.45">
      <c r="A45" s="2">
        <f t="shared" si="1"/>
        <v>45536</v>
      </c>
      <c r="B45">
        <v>14882</v>
      </c>
      <c r="C45">
        <v>13821</v>
      </c>
      <c r="D45">
        <v>11315</v>
      </c>
      <c r="E45">
        <v>16113</v>
      </c>
      <c r="F45">
        <v>21012</v>
      </c>
      <c r="G45">
        <v>23912</v>
      </c>
      <c r="H45">
        <v>6.5</v>
      </c>
      <c r="I45">
        <v>146.9</v>
      </c>
      <c r="J45">
        <v>-2.90613193839066E-2</v>
      </c>
      <c r="K45">
        <v>0</v>
      </c>
      <c r="L45">
        <v>0</v>
      </c>
    </row>
    <row r="46" spans="1:12" x14ac:dyDescent="0.45">
      <c r="A46" s="2">
        <f t="shared" si="1"/>
        <v>45566</v>
      </c>
      <c r="B46">
        <v>16778</v>
      </c>
      <c r="C46">
        <v>15950</v>
      </c>
      <c r="D46">
        <v>12168</v>
      </c>
      <c r="E46">
        <v>17462</v>
      </c>
      <c r="F46">
        <v>22110</v>
      </c>
      <c r="G46">
        <v>28426</v>
      </c>
      <c r="H46">
        <v>6.5</v>
      </c>
      <c r="I46">
        <v>150.30000000000001</v>
      </c>
      <c r="J46">
        <v>14.8387096774194</v>
      </c>
      <c r="K46">
        <f t="shared" si="3"/>
        <v>2.6972392849979974</v>
      </c>
      <c r="L46">
        <f t="shared" si="3"/>
        <v>0.99222876287603012</v>
      </c>
    </row>
    <row r="47" spans="1:12" x14ac:dyDescent="0.45">
      <c r="A47" s="2">
        <f t="shared" si="1"/>
        <v>45597</v>
      </c>
      <c r="B47">
        <v>16126</v>
      </c>
      <c r="C47">
        <v>14596</v>
      </c>
      <c r="D47">
        <v>11910</v>
      </c>
      <c r="E47">
        <v>16825</v>
      </c>
      <c r="F47">
        <v>21887</v>
      </c>
      <c r="G47">
        <v>25247</v>
      </c>
      <c r="H47">
        <v>6.5</v>
      </c>
      <c r="I47">
        <v>148.1</v>
      </c>
      <c r="J47">
        <v>14.9032258064516</v>
      </c>
      <c r="K47">
        <f t="shared" si="3"/>
        <v>2.7015776865965919</v>
      </c>
      <c r="L47">
        <f t="shared" si="3"/>
        <v>0.99383593072604515</v>
      </c>
    </row>
    <row r="48" spans="1:12" x14ac:dyDescent="0.45">
      <c r="A48" s="2">
        <f t="shared" si="1"/>
        <v>45627</v>
      </c>
      <c r="B48">
        <v>16056</v>
      </c>
      <c r="C48">
        <v>14864</v>
      </c>
      <c r="D48">
        <v>11677</v>
      </c>
      <c r="E48">
        <v>16683</v>
      </c>
      <c r="F48">
        <v>22493</v>
      </c>
      <c r="G48">
        <v>22265</v>
      </c>
      <c r="H48">
        <v>6.5</v>
      </c>
      <c r="I48">
        <v>158</v>
      </c>
      <c r="J48">
        <v>7.8947368421052504</v>
      </c>
      <c r="K48">
        <f t="shared" si="3"/>
        <v>2.0661963149298135</v>
      </c>
      <c r="L48">
        <f t="shared" si="3"/>
        <v>0.72570938793041406</v>
      </c>
    </row>
    <row r="49" spans="1:12" x14ac:dyDescent="0.45">
      <c r="A49" s="2">
        <f t="shared" si="1"/>
        <v>45658</v>
      </c>
      <c r="B49">
        <v>16431</v>
      </c>
      <c r="C49">
        <v>15684</v>
      </c>
      <c r="D49">
        <v>12208</v>
      </c>
      <c r="E49">
        <v>17106</v>
      </c>
      <c r="F49">
        <v>22949</v>
      </c>
      <c r="G49">
        <v>24148</v>
      </c>
      <c r="H49">
        <v>6.5</v>
      </c>
      <c r="I49">
        <v>161.6</v>
      </c>
      <c r="J49">
        <v>7.8947368421052504</v>
      </c>
      <c r="K49">
        <f t="shared" si="3"/>
        <v>2.0661963149298135</v>
      </c>
      <c r="L49">
        <f t="shared" si="3"/>
        <v>0.72570938793041406</v>
      </c>
    </row>
    <row r="50" spans="1:12" x14ac:dyDescent="0.45">
      <c r="A50" s="2">
        <f t="shared" si="1"/>
        <v>45689</v>
      </c>
      <c r="B50">
        <v>16364</v>
      </c>
      <c r="C50">
        <v>15634</v>
      </c>
      <c r="D50">
        <v>12077</v>
      </c>
      <c r="E50">
        <v>16863</v>
      </c>
      <c r="F50">
        <v>23296</v>
      </c>
      <c r="G50">
        <v>25017</v>
      </c>
      <c r="H50" s="4">
        <v>6.25</v>
      </c>
      <c r="I50">
        <v>151.1</v>
      </c>
      <c r="J50">
        <v>-1.2098167991703901</v>
      </c>
      <c r="K50">
        <v>0</v>
      </c>
      <c r="L50">
        <v>0</v>
      </c>
    </row>
    <row r="51" spans="1:12" x14ac:dyDescent="0.45">
      <c r="A51" s="2">
        <f t="shared" si="1"/>
        <v>45717</v>
      </c>
      <c r="B51">
        <v>17164</v>
      </c>
      <c r="C51">
        <v>16578</v>
      </c>
      <c r="D51">
        <v>12482</v>
      </c>
      <c r="E51">
        <v>17234</v>
      </c>
      <c r="F51">
        <v>23711</v>
      </c>
      <c r="G51">
        <v>25056</v>
      </c>
      <c r="H51" s="4">
        <v>6.25</v>
      </c>
      <c r="I51">
        <v>166.3</v>
      </c>
      <c r="J51">
        <v>-1.2789491876944099</v>
      </c>
      <c r="K51">
        <v>0</v>
      </c>
      <c r="L51">
        <v>0</v>
      </c>
    </row>
    <row r="52" spans="1:12" x14ac:dyDescent="0.45">
      <c r="A52" s="2">
        <f t="shared" si="1"/>
        <v>45748</v>
      </c>
      <c r="B52">
        <v>17318</v>
      </c>
      <c r="C52">
        <v>15784</v>
      </c>
      <c r="D52">
        <v>12492</v>
      </c>
      <c r="E52">
        <v>17318</v>
      </c>
      <c r="F52">
        <v>24023</v>
      </c>
      <c r="G52">
        <v>26550</v>
      </c>
      <c r="H52">
        <v>6</v>
      </c>
      <c r="I52">
        <v>151.80000000000001</v>
      </c>
      <c r="J52">
        <v>9.5401509951956101</v>
      </c>
      <c r="K52">
        <f t="shared" ref="K52:L61" si="4">LN(J52)</f>
        <v>2.2555093129235786</v>
      </c>
      <c r="L52">
        <f t="shared" si="4"/>
        <v>0.81337580684186317</v>
      </c>
    </row>
    <row r="53" spans="1:12" x14ac:dyDescent="0.45">
      <c r="A53" s="2">
        <f t="shared" si="1"/>
        <v>45778</v>
      </c>
      <c r="B53">
        <v>17288</v>
      </c>
      <c r="C53">
        <v>16054</v>
      </c>
      <c r="D53">
        <v>12258</v>
      </c>
      <c r="E53">
        <v>17377</v>
      </c>
      <c r="F53">
        <v>24873</v>
      </c>
      <c r="G53">
        <v>28710</v>
      </c>
      <c r="H53">
        <v>6</v>
      </c>
      <c r="I53">
        <v>157.6</v>
      </c>
      <c r="J53">
        <v>9.4028826355525208</v>
      </c>
      <c r="K53">
        <f t="shared" si="4"/>
        <v>2.2410163056210131</v>
      </c>
      <c r="L53">
        <f t="shared" si="4"/>
        <v>0.80692947083917954</v>
      </c>
    </row>
    <row r="54" spans="1:12" x14ac:dyDescent="0.45">
      <c r="A54" s="2">
        <f t="shared" si="1"/>
        <v>45809</v>
      </c>
      <c r="B54">
        <v>17826</v>
      </c>
      <c r="C54">
        <v>16448</v>
      </c>
      <c r="D54">
        <v>12431</v>
      </c>
      <c r="E54">
        <v>17729</v>
      </c>
      <c r="F54">
        <v>25579</v>
      </c>
      <c r="G54">
        <v>28700</v>
      </c>
      <c r="H54" s="4">
        <v>5.5</v>
      </c>
      <c r="I54">
        <v>153.30000000000001</v>
      </c>
      <c r="J54">
        <v>5.2380952380952301</v>
      </c>
      <c r="K54">
        <f t="shared" si="4"/>
        <v>1.6559579280689918</v>
      </c>
      <c r="L54">
        <f t="shared" si="4"/>
        <v>0.50437964988489659</v>
      </c>
    </row>
    <row r="55" spans="1:12" x14ac:dyDescent="0.45">
      <c r="A55" s="2">
        <f t="shared" si="1"/>
        <v>45839</v>
      </c>
      <c r="B55">
        <v>18152</v>
      </c>
      <c r="C55">
        <v>17311</v>
      </c>
      <c r="D55">
        <v>12981</v>
      </c>
      <c r="E55">
        <v>18008</v>
      </c>
      <c r="F55">
        <v>25613</v>
      </c>
      <c r="G55">
        <v>27340</v>
      </c>
      <c r="H55" s="4">
        <v>5.5</v>
      </c>
      <c r="I55">
        <v>156.19999999999999</v>
      </c>
      <c r="J55">
        <v>5.2380952380952301</v>
      </c>
      <c r="K55">
        <f t="shared" si="4"/>
        <v>1.6559579280689918</v>
      </c>
      <c r="L55">
        <f t="shared" si="4"/>
        <v>0.50437964988489659</v>
      </c>
    </row>
    <row r="56" spans="1:12" x14ac:dyDescent="0.45">
      <c r="A56" s="2">
        <f t="shared" si="1"/>
        <v>45870</v>
      </c>
      <c r="B56">
        <v>18488</v>
      </c>
      <c r="C56">
        <v>17669</v>
      </c>
      <c r="D56">
        <v>12645</v>
      </c>
      <c r="E56">
        <v>18090</v>
      </c>
      <c r="F56">
        <v>26168</v>
      </c>
      <c r="G56">
        <v>29496</v>
      </c>
      <c r="H56" s="4">
        <v>5.5</v>
      </c>
      <c r="I56">
        <v>151.69999999999999</v>
      </c>
      <c r="J56">
        <v>3.9764359351988099</v>
      </c>
      <c r="K56">
        <f t="shared" si="4"/>
        <v>1.3803859244337213</v>
      </c>
      <c r="L56">
        <f t="shared" si="4"/>
        <v>0.32236311545958907</v>
      </c>
    </row>
    <row r="57" spans="1:12" x14ac:dyDescent="0.45">
      <c r="A57" s="2">
        <f t="shared" si="1"/>
        <v>45901</v>
      </c>
      <c r="B57">
        <v>18607</v>
      </c>
      <c r="C57">
        <v>16965</v>
      </c>
      <c r="D57">
        <v>12612</v>
      </c>
      <c r="E57">
        <v>18436</v>
      </c>
      <c r="F57">
        <v>25967</v>
      </c>
      <c r="G57">
        <v>30083</v>
      </c>
      <c r="H57" s="4">
        <v>5.5</v>
      </c>
      <c r="I57">
        <v>153.69999999999999</v>
      </c>
      <c r="J57">
        <v>3.90279823269513</v>
      </c>
      <c r="K57">
        <f t="shared" si="4"/>
        <v>1.3616937914215692</v>
      </c>
      <c r="L57">
        <f t="shared" si="4"/>
        <v>0.30872935970608911</v>
      </c>
    </row>
    <row r="58" spans="1:12" x14ac:dyDescent="0.45">
      <c r="A58" s="2">
        <f t="shared" si="1"/>
        <v>45931</v>
      </c>
      <c r="B58">
        <v>21006</v>
      </c>
      <c r="C58">
        <v>21117</v>
      </c>
      <c r="D58">
        <v>13603</v>
      </c>
      <c r="E58">
        <v>19927</v>
      </c>
      <c r="F58">
        <v>27995</v>
      </c>
      <c r="G58">
        <v>31039</v>
      </c>
      <c r="H58" s="4">
        <v>5.5</v>
      </c>
      <c r="I58">
        <v>151.1</v>
      </c>
      <c r="J58">
        <v>5.06329113924052</v>
      </c>
      <c r="K58">
        <f t="shared" si="4"/>
        <v>1.6220166946409631</v>
      </c>
      <c r="L58">
        <f t="shared" si="4"/>
        <v>0.48367024826723343</v>
      </c>
    </row>
    <row r="59" spans="1:12" x14ac:dyDescent="0.45">
      <c r="A59" s="2">
        <f t="shared" si="1"/>
        <v>45962</v>
      </c>
      <c r="B59">
        <v>19620</v>
      </c>
      <c r="C59">
        <v>17593</v>
      </c>
      <c r="D59">
        <v>13091</v>
      </c>
      <c r="E59">
        <v>19203</v>
      </c>
      <c r="F59">
        <v>25880</v>
      </c>
      <c r="G59">
        <v>29007</v>
      </c>
      <c r="H59" s="4">
        <v>5.5</v>
      </c>
      <c r="I59">
        <v>158.69999999999999</v>
      </c>
      <c r="J59">
        <v>4.9226441631504896</v>
      </c>
      <c r="K59">
        <f t="shared" si="4"/>
        <v>1.5938458176742636</v>
      </c>
      <c r="L59">
        <f t="shared" si="4"/>
        <v>0.46614984901106632</v>
      </c>
    </row>
    <row r="60" spans="1:12" x14ac:dyDescent="0.45">
      <c r="A60" s="2">
        <f t="shared" si="1"/>
        <v>45992</v>
      </c>
      <c r="B60">
        <v>19364</v>
      </c>
      <c r="C60">
        <v>17862</v>
      </c>
      <c r="D60">
        <v>12765</v>
      </c>
      <c r="E60">
        <v>18889</v>
      </c>
      <c r="F60">
        <v>25600</v>
      </c>
      <c r="G60">
        <v>26680</v>
      </c>
      <c r="H60">
        <v>5.25</v>
      </c>
      <c r="I60">
        <v>170.7</v>
      </c>
      <c r="J60">
        <v>5</v>
      </c>
      <c r="K60">
        <f t="shared" si="4"/>
        <v>1.6094379124341003</v>
      </c>
      <c r="L60">
        <f t="shared" si="4"/>
        <v>0.47588499532711054</v>
      </c>
    </row>
    <row r="61" spans="1:12" x14ac:dyDescent="0.45">
      <c r="A61" s="2">
        <f t="shared" si="1"/>
        <v>46023</v>
      </c>
      <c r="B61">
        <v>19553</v>
      </c>
      <c r="C61">
        <v>17375</v>
      </c>
      <c r="D61">
        <v>12884</v>
      </c>
      <c r="E61">
        <v>19089</v>
      </c>
      <c r="F61">
        <v>27364</v>
      </c>
      <c r="G61">
        <v>29747</v>
      </c>
      <c r="H61">
        <v>5.25</v>
      </c>
      <c r="I61">
        <v>169.9</v>
      </c>
      <c r="J61">
        <v>4.9275362318840701</v>
      </c>
      <c r="K61">
        <f t="shared" si="4"/>
        <v>1.5948391130129502</v>
      </c>
      <c r="L61">
        <f t="shared" si="4"/>
        <v>0.46677286156477199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Siddarth mohapatra -125250980</dc:creator>
  <cp:lastModifiedBy>Siddarth mohapatra -125250980</cp:lastModifiedBy>
  <dcterms:created xsi:type="dcterms:W3CDTF">2026-03-31T14:56:24Z</dcterms:created>
  <dcterms:modified xsi:type="dcterms:W3CDTF">2026-04-01T06:53:25Z</dcterms:modified>
</cp:coreProperties>
</file>